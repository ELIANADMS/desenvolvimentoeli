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liana\Downloads\"/>
    </mc:Choice>
  </mc:AlternateContent>
  <bookViews>
    <workbookView xWindow="0" yWindow="0" windowWidth="23040" windowHeight="8616" tabRatio="0" activeTab="1"/>
  </bookViews>
  <sheets>
    <sheet name="Auxiliar" sheetId="7" r:id="rId1"/>
    <sheet name="Dio Invest" sheetId="6" r:id="rId2"/>
  </sheets>
  <definedNames>
    <definedName name="Aport">'Dio Invest'!$D$14:$D$14</definedName>
    <definedName name="Patrimonio">'Dio Invest'!$D$17:$D$17</definedName>
    <definedName name="Qtde_Anos">'Dio Invest'!$D$15:$D$15</definedName>
    <definedName name="Rendimento_Carteira">'Dio Invest'!$D$10:$D$10</definedName>
    <definedName name="Salario">'Dio Invest'!$D$9:$D$9</definedName>
    <definedName name="Tx_mensal">'Dio Invest'!$D$16:$D$16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3" i="6" l="1"/>
  <c r="D33" i="6" s="1"/>
  <c r="C34" i="6"/>
  <c r="D34" i="6" s="1"/>
  <c r="C35" i="6"/>
  <c r="D35" i="6" s="1"/>
  <c r="C36" i="6"/>
  <c r="D36" i="6" s="1"/>
  <c r="C37" i="6"/>
  <c r="D37" i="6" s="1"/>
  <c r="C32" i="6"/>
  <c r="D32" i="6" s="1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3" i="7"/>
  <c r="C29" i="6"/>
  <c r="D21" i="6" a="1"/>
  <c r="D21" i="6"/>
  <c r="D18" i="6" a="1"/>
  <c r="D18" i="6"/>
  <c r="D17" i="6" a="1"/>
  <c r="D17" i="6"/>
  <c r="D11" i="6"/>
  <c r="C22" i="6"/>
  <c r="D22" i="6" s="1" a="1"/>
  <c r="D22" i="6" s="1"/>
  <c r="C23" i="6"/>
  <c r="D23" i="6" s="1" a="1"/>
  <c r="D23" i="6" s="1"/>
  <c r="C24" i="6"/>
  <c r="D24" i="6" s="1" a="1"/>
  <c r="D24" i="6" s="1"/>
  <c r="C25" i="6"/>
  <c r="D25" i="6" s="1" a="1"/>
  <c r="D25" i="6" s="1"/>
  <c r="C21" i="6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<sst xmlns="http://schemas.openxmlformats.org/spreadsheetml/2006/main" count="69" uniqueCount="33">
  <si>
    <t>Valores</t>
  </si>
  <si>
    <t>CONFIGURAÇÕES</t>
  </si>
  <si>
    <t>Salário</t>
  </si>
  <si>
    <t>Rendimento Carteira</t>
  </si>
  <si>
    <t>Sugestão de Investimento (30%)</t>
  </si>
  <si>
    <t>INVESTIMENTO MENSAL</t>
  </si>
  <si>
    <t>Quanto investir por mês ?</t>
  </si>
  <si>
    <t>Por Quantos Anos ?</t>
  </si>
  <si>
    <t>Taxa de Rendimento mensal ?</t>
  </si>
  <si>
    <t>Patrimônio acumulado ?</t>
  </si>
  <si>
    <t>Dividendos Mensais ?</t>
  </si>
  <si>
    <t xml:space="preserve"> Cenários</t>
  </si>
  <si>
    <t>Dividendo</t>
  </si>
  <si>
    <t>Quanto em 2 Anos ?</t>
  </si>
  <si>
    <t>Quanto em 5 Anos ?</t>
  </si>
  <si>
    <t>Quanto em 10 Anos ?</t>
  </si>
  <si>
    <t>Quanto em 20 Anos ?</t>
  </si>
  <si>
    <t>Quanto em 30 Anos ?</t>
  </si>
  <si>
    <t>PERFIL</t>
  </si>
  <si>
    <t>Agressivo</t>
  </si>
  <si>
    <t>VALOR A SER INVESTIDO POR MÊS</t>
  </si>
  <si>
    <t>TIPO DE FII</t>
  </si>
  <si>
    <t>Percentual Sugerido</t>
  </si>
  <si>
    <t>PAPEL</t>
  </si>
  <si>
    <t>TIJOLO</t>
  </si>
  <si>
    <t>HÍBRIDOS</t>
  </si>
  <si>
    <t>FOFs</t>
  </si>
  <si>
    <t>DESENVOLVIMENTO</t>
  </si>
  <si>
    <t>HOTELARIAS</t>
  </si>
  <si>
    <t>CHAVE</t>
  </si>
  <si>
    <t>%</t>
  </si>
  <si>
    <t>Conservador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</si>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</sst>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R$&quot;\ #,##0.00;[Red]\-&quot;R$&quot;\ #,##0.00"/>
    <numFmt numFmtId="166" formatCode="&quot;R$&quot;\ #,##0.00"/>
    <numFmt numFmtId="168" formatCode="0.0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Segoe UI Semibold"/>
    </font>
    <font>
      <sz val="18"/>
      <color theme="0"/>
      <name val="Segoe UI Semibold"/>
    </font>
    <font>
      <b/>
      <sz val="12"/>
      <color theme="0"/>
      <name val="Segoe UI Semibold"/>
    </font>
    <font>
      <b/>
      <sz val="11"/>
      <color theme="7" tint="-0.249977111117893"/>
      <name val="Aptos Narrow"/>
    </font>
    <font>
      <sz val="11"/>
      <color theme="1"/>
      <name val="Aptos Narrow"/>
    </font>
    <font>
      <b/>
      <sz val="11"/>
      <color theme="1"/>
      <name val="Aptos Narrow"/>
    </font>
    <font>
      <sz val="11"/>
      <color theme="0"/>
      <name val="Calibri"/>
      <family val="2"/>
      <scheme val="minor"/>
    </font>
    <font>
      <sz val="11"/>
      <color theme="0"/>
      <name val="Aptos Narrow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14999847407452621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rgb="FF000000"/>
      </left>
      <right style="thin">
        <color theme="2" tint="-9.9978637043366805E-2"/>
      </right>
      <top style="medium">
        <color rgb="FF000000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medium">
        <color rgb="FF000000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rgb="FF000000"/>
      </right>
      <top style="medium">
        <color rgb="FF000000"/>
      </top>
      <bottom style="thin">
        <color theme="2" tint="-9.9978637043366805E-2"/>
      </bottom>
      <diagonal/>
    </border>
    <border>
      <left style="medium">
        <color rgb="FF000000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rgb="FF000000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rgb="FF000000"/>
      </left>
      <right style="thin">
        <color theme="2" tint="-9.9978637043366805E-2"/>
      </right>
      <top style="thin">
        <color theme="2" tint="-9.9978637043366805E-2"/>
      </top>
      <bottom style="medium">
        <color rgb="FF000000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medium">
        <color rgb="FF000000"/>
      </bottom>
      <diagonal/>
    </border>
    <border>
      <left style="thin">
        <color theme="2" tint="-9.9978637043366805E-2"/>
      </left>
      <right style="medium">
        <color rgb="FF000000"/>
      </right>
      <top style="thin">
        <color theme="2" tint="-9.9978637043366805E-2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theme="2" tint="-9.9978637043366805E-2"/>
      </bottom>
      <diagonal/>
    </border>
    <border>
      <left/>
      <right/>
      <top style="medium">
        <color rgb="FF000000"/>
      </top>
      <bottom style="thin">
        <color theme="2" tint="-9.9978637043366805E-2"/>
      </bottom>
      <diagonal/>
    </border>
    <border>
      <left/>
      <right style="medium">
        <color rgb="FF000000"/>
      </right>
      <top style="medium">
        <color rgb="FF000000"/>
      </top>
      <bottom style="thin">
        <color theme="2" tint="-9.9978637043366805E-2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Alignment="1">
      <alignment horizontal="center"/>
    </xf>
    <xf numFmtId="9" fontId="0" fillId="0" borderId="0" xfId="0" applyNumberFormat="1"/>
    <xf numFmtId="8" fontId="0" fillId="0" borderId="2" xfId="0" applyNumberFormat="1" applyBorder="1"/>
    <xf numFmtId="0" fontId="0" fillId="0" borderId="6" xfId="0" applyBorder="1"/>
    <xf numFmtId="0" fontId="0" fillId="0" borderId="8" xfId="0" applyBorder="1"/>
    <xf numFmtId="8" fontId="0" fillId="0" borderId="9" xfId="0" applyNumberFormat="1" applyBorder="1"/>
    <xf numFmtId="0" fontId="5" fillId="4" borderId="0" xfId="0" applyFont="1" applyFill="1" applyBorder="1"/>
    <xf numFmtId="0" fontId="8" fillId="0" borderId="0" xfId="0" applyFont="1"/>
    <xf numFmtId="0" fontId="5" fillId="4" borderId="0" xfId="0" applyFont="1" applyFill="1" applyBorder="1" applyAlignment="1">
      <alignment horizontal="center"/>
    </xf>
    <xf numFmtId="8" fontId="7" fillId="5" borderId="0" xfId="0" applyNumberFormat="1" applyFont="1" applyFill="1" applyBorder="1" applyAlignment="1">
      <alignment horizontal="center"/>
    </xf>
    <xf numFmtId="0" fontId="7" fillId="5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7" fillId="6" borderId="0" xfId="0" applyFont="1" applyFill="1" applyBorder="1" applyAlignment="1">
      <alignment horizontal="center"/>
    </xf>
    <xf numFmtId="9" fontId="6" fillId="0" borderId="0" xfId="0" applyNumberFormat="1" applyFont="1" applyBorder="1" applyAlignment="1">
      <alignment horizontal="center"/>
    </xf>
    <xf numFmtId="0" fontId="7" fillId="5" borderId="0" xfId="0" applyFont="1" applyFill="1" applyBorder="1" applyAlignment="1">
      <alignment horizontal="left"/>
    </xf>
    <xf numFmtId="1" fontId="0" fillId="0" borderId="7" xfId="0" applyNumberFormat="1" applyBorder="1" applyAlignment="1">
      <alignment horizontal="center"/>
    </xf>
    <xf numFmtId="8" fontId="0" fillId="0" borderId="7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8" fontId="0" fillId="0" borderId="10" xfId="0" applyNumberFormat="1" applyBorder="1" applyAlignment="1">
      <alignment horizontal="center"/>
    </xf>
    <xf numFmtId="0" fontId="4" fillId="3" borderId="13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168" fontId="0" fillId="0" borderId="7" xfId="0" applyNumberFormat="1" applyBorder="1" applyAlignment="1">
      <alignment horizontal="center"/>
    </xf>
    <xf numFmtId="8" fontId="1" fillId="5" borderId="7" xfId="0" applyNumberFormat="1" applyFont="1" applyFill="1" applyBorder="1" applyAlignment="1">
      <alignment horizontal="center"/>
    </xf>
    <xf numFmtId="8" fontId="1" fillId="5" borderId="10" xfId="0" applyNumberFormat="1" applyFont="1" applyFill="1" applyBorder="1" applyAlignment="1">
      <alignment horizontal="center"/>
    </xf>
    <xf numFmtId="0" fontId="9" fillId="7" borderId="0" xfId="0" applyFont="1" applyFill="1" applyBorder="1"/>
    <xf numFmtId="9" fontId="0" fillId="0" borderId="0" xfId="0" applyNumberFormat="1" applyBorder="1"/>
    <xf numFmtId="0" fontId="0" fillId="0" borderId="14" xfId="0" applyBorder="1"/>
    <xf numFmtId="9" fontId="0" fillId="0" borderId="14" xfId="0" applyNumberFormat="1" applyBorder="1"/>
    <xf numFmtId="166" fontId="6" fillId="0" borderId="0" xfId="0" applyNumberFormat="1" applyFont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2" xfId="0" applyBorder="1" applyAlignment="1">
      <alignment horizontal="left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5" borderId="6" xfId="0" applyFont="1" applyFill="1" applyBorder="1" applyAlignment="1">
      <alignment horizontal="left"/>
    </xf>
    <xf numFmtId="0" fontId="1" fillId="5" borderId="2" xfId="0" applyFont="1" applyFill="1" applyBorder="1" applyAlignment="1">
      <alignment horizontal="left"/>
    </xf>
    <xf numFmtId="0" fontId="1" fillId="5" borderId="8" xfId="0" applyFont="1" applyFill="1" applyBorder="1" applyAlignment="1">
      <alignment horizontal="left"/>
    </xf>
    <xf numFmtId="0" fontId="1" fillId="5" borderId="9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Dio</a:t>
            </a:r>
            <a:r>
              <a:rPr lang="pt-BR"/>
              <a:t> </a:t>
            </a:r>
            <a:r>
              <a:rPr lang="pt-BR" b="1"/>
              <a:t>Invest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'Dio Invest'!$C$31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'Dio Invest'!$B$32:$B$37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'Dio Invest'!$C$32:$C$37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EA-40D2-9330-203E9B781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Dio</a:t>
            </a:r>
            <a:r>
              <a:rPr lang="pt-BR"/>
              <a:t> </a:t>
            </a:r>
            <a:r>
              <a:rPr lang="pt-BR" b="1"/>
              <a:t>Invest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'Dio Invest'!$D$31</c:f>
              <c:strCache>
                <c:ptCount val="1"/>
                <c:pt idx="0">
                  <c:v>Valores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1F8-4A0A-8AC0-3977CC89F7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1F8-4A0A-8AC0-3977CC89F7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1F8-4A0A-8AC0-3977CC89F7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1F8-4A0A-8AC0-3977CC89F7C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1F8-4A0A-8AC0-3977CC89F7C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1F8-4A0A-8AC0-3977CC89F7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'Dio Invest'!$B$32:$B$37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'Dio Invest'!$D$32:$D$37</c:f>
              <c:numCache>
                <c:formatCode>"R$"\ #,##0.00</c:formatCode>
                <c:ptCount val="6"/>
                <c:pt idx="0">
                  <c:v>250</c:v>
                </c:pt>
                <c:pt idx="1">
                  <c:v>50</c:v>
                </c:pt>
                <c:pt idx="2">
                  <c:v>25</c:v>
                </c:pt>
                <c:pt idx="3">
                  <c:v>25</c:v>
                </c:pt>
                <c:pt idx="4">
                  <c:v>100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1F8-4A0A-8AC0-3977CC89F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1</xdr:row>
      <xdr:rowOff>76200</xdr:rowOff>
    </xdr:from>
    <xdr:to>
      <xdr:col>4</xdr:col>
      <xdr:colOff>171450</xdr:colOff>
      <xdr:row>6</xdr:row>
      <xdr:rowOff>95250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66F4F3F-19BE-3F32-CD9E-3714C4A68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266700"/>
          <a:ext cx="4495800" cy="97155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38</xdr:row>
      <xdr:rowOff>102870</xdr:rowOff>
    </xdr:from>
    <xdr:to>
      <xdr:col>4</xdr:col>
      <xdr:colOff>396240</xdr:colOff>
      <xdr:row>52</xdr:row>
      <xdr:rowOff>53340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53</xdr:row>
      <xdr:rowOff>0</xdr:rowOff>
    </xdr:from>
    <xdr:to>
      <xdr:col>4</xdr:col>
      <xdr:colOff>426720</xdr:colOff>
      <xdr:row>67</xdr:row>
      <xdr:rowOff>22860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9"/>
  <sheetViews>
    <sheetView showGridLines="0" workbookViewId="0">
      <pane ySplit="1" topLeftCell="A12" activePane="bottomLeft" state="frozen"/>
      <selection pane="bottomLeft" activeCell="B37" sqref="B37"/>
    </sheetView>
  </sheetViews>
  <sheetFormatPr defaultRowHeight="14.4"/>
  <cols>
    <col min="1" max="1" width="2.6640625" customWidth="1"/>
    <col min="2" max="2" width="31.33203125" bestFit="1" customWidth="1"/>
    <col min="3" max="3" width="12.109375" bestFit="1" customWidth="1"/>
    <col min="4" max="4" width="19.33203125" bestFit="1" customWidth="1"/>
    <col min="5" max="5" width="4.88671875" bestFit="1" customWidth="1"/>
  </cols>
  <sheetData>
    <row r="1" spans="2:9" ht="11.25" customHeight="1"/>
    <row r="2" spans="2:9">
      <c r="B2" s="27" t="s">
        <v>29</v>
      </c>
      <c r="C2" s="27" t="s">
        <v>18</v>
      </c>
      <c r="D2" s="27" t="s">
        <v>21</v>
      </c>
      <c r="E2" s="27" t="s">
        <v>30</v>
      </c>
      <c r="F2" s="27"/>
    </row>
    <row r="3" spans="2:9">
      <c r="B3" s="2" t="str">
        <f>C3&amp;"-"&amp;D3</f>
        <v>Conservador-PAPEL</v>
      </c>
      <c r="C3" s="2" t="s">
        <v>31</v>
      </c>
      <c r="D3" s="2" t="s">
        <v>23</v>
      </c>
      <c r="E3" s="28">
        <v>0.3</v>
      </c>
      <c r="F3" s="2"/>
    </row>
    <row r="4" spans="2:9">
      <c r="B4" s="2" t="str">
        <f t="shared" ref="B4:B20" si="0">C4&amp;"-"&amp;D4</f>
        <v>Conservador-TIJOLO</v>
      </c>
      <c r="C4" s="2" t="s">
        <v>31</v>
      </c>
      <c r="D4" s="2" t="s">
        <v>24</v>
      </c>
      <c r="E4" s="28">
        <v>0.5</v>
      </c>
      <c r="F4" s="2"/>
      <c r="I4" s="4"/>
    </row>
    <row r="5" spans="2:9">
      <c r="B5" s="2" t="str">
        <f t="shared" si="0"/>
        <v>Conservador-HÍBRIDOS</v>
      </c>
      <c r="C5" s="2" t="s">
        <v>31</v>
      </c>
      <c r="D5" s="2" t="s">
        <v>25</v>
      </c>
      <c r="E5" s="28">
        <v>0.1</v>
      </c>
      <c r="F5" s="2"/>
    </row>
    <row r="6" spans="2:9">
      <c r="B6" s="2" t="str">
        <f t="shared" si="0"/>
        <v>Conservador-FOFs</v>
      </c>
      <c r="C6" s="2" t="s">
        <v>31</v>
      </c>
      <c r="D6" s="2" t="s">
        <v>26</v>
      </c>
      <c r="E6" s="28">
        <v>0.1</v>
      </c>
      <c r="F6" s="2"/>
    </row>
    <row r="7" spans="2:9">
      <c r="B7" s="2" t="str">
        <f t="shared" si="0"/>
        <v>Conservador-DESENVOLVIMENTO</v>
      </c>
      <c r="C7" s="2" t="s">
        <v>31</v>
      </c>
      <c r="D7" s="2" t="s">
        <v>27</v>
      </c>
      <c r="E7" s="28">
        <v>0</v>
      </c>
      <c r="F7" s="2"/>
    </row>
    <row r="8" spans="2:9">
      <c r="B8" s="29" t="str">
        <f t="shared" si="0"/>
        <v>Conservador-HOTELARIAS</v>
      </c>
      <c r="C8" s="29" t="s">
        <v>31</v>
      </c>
      <c r="D8" s="29" t="s">
        <v>28</v>
      </c>
      <c r="E8" s="30">
        <v>0</v>
      </c>
      <c r="F8" s="29"/>
    </row>
    <row r="9" spans="2:9">
      <c r="B9" s="2" t="str">
        <f t="shared" si="0"/>
        <v>Moderado-PAPEL</v>
      </c>
      <c r="C9" s="2" t="s">
        <v>32</v>
      </c>
      <c r="D9" s="2" t="s">
        <v>23</v>
      </c>
      <c r="E9" s="28">
        <v>0.32</v>
      </c>
      <c r="F9" s="2"/>
    </row>
    <row r="10" spans="2:9">
      <c r="B10" s="2" t="str">
        <f t="shared" si="0"/>
        <v>Moderado-TIJOLO</v>
      </c>
      <c r="C10" s="2" t="s">
        <v>32</v>
      </c>
      <c r="D10" s="2" t="s">
        <v>24</v>
      </c>
      <c r="E10" s="28">
        <v>0.35</v>
      </c>
      <c r="F10" s="2"/>
    </row>
    <row r="11" spans="2:9">
      <c r="B11" s="2" t="str">
        <f t="shared" si="0"/>
        <v>Moderado-HÍBRIDOS</v>
      </c>
      <c r="C11" s="2" t="s">
        <v>32</v>
      </c>
      <c r="D11" s="2" t="s">
        <v>25</v>
      </c>
      <c r="E11" s="28">
        <v>0.08</v>
      </c>
      <c r="F11" s="2"/>
    </row>
    <row r="12" spans="2:9">
      <c r="B12" s="2" t="str">
        <f t="shared" si="0"/>
        <v>Moderado-FOFs</v>
      </c>
      <c r="C12" s="2" t="s">
        <v>32</v>
      </c>
      <c r="D12" s="2" t="s">
        <v>26</v>
      </c>
      <c r="E12" s="28">
        <v>0.05</v>
      </c>
      <c r="F12" s="2"/>
    </row>
    <row r="13" spans="2:9">
      <c r="B13" s="2" t="str">
        <f t="shared" si="0"/>
        <v>Moderado-DESENVOLVIMENTO</v>
      </c>
      <c r="C13" s="2" t="s">
        <v>32</v>
      </c>
      <c r="D13" s="2" t="s">
        <v>27</v>
      </c>
      <c r="E13" s="28">
        <v>0.1</v>
      </c>
      <c r="F13" s="2"/>
    </row>
    <row r="14" spans="2:9">
      <c r="B14" s="29" t="str">
        <f t="shared" si="0"/>
        <v>Moderado-HOTELARIAS</v>
      </c>
      <c r="C14" s="29" t="s">
        <v>32</v>
      </c>
      <c r="D14" s="29" t="s">
        <v>28</v>
      </c>
      <c r="E14" s="30">
        <v>0.1</v>
      </c>
      <c r="F14" s="29"/>
    </row>
    <row r="15" spans="2:9">
      <c r="B15" s="2" t="str">
        <f t="shared" si="0"/>
        <v>Agressivo-PAPEL</v>
      </c>
      <c r="C15" s="2" t="s">
        <v>19</v>
      </c>
      <c r="D15" s="2" t="s">
        <v>23</v>
      </c>
      <c r="E15" s="28">
        <v>0.5</v>
      </c>
      <c r="F15" s="2"/>
    </row>
    <row r="16" spans="2:9">
      <c r="B16" s="2" t="str">
        <f t="shared" si="0"/>
        <v>Agressivo-TIJOLO</v>
      </c>
      <c r="C16" s="2" t="s">
        <v>19</v>
      </c>
      <c r="D16" s="2" t="s">
        <v>24</v>
      </c>
      <c r="E16" s="28">
        <v>0.1</v>
      </c>
      <c r="F16" s="2"/>
    </row>
    <row r="17" spans="2:6">
      <c r="B17" s="2" t="str">
        <f t="shared" si="0"/>
        <v>Agressivo-HÍBRIDOS</v>
      </c>
      <c r="C17" s="2" t="s">
        <v>19</v>
      </c>
      <c r="D17" s="2" t="s">
        <v>25</v>
      </c>
      <c r="E17" s="28">
        <v>0.05</v>
      </c>
      <c r="F17" s="2"/>
    </row>
    <row r="18" spans="2:6">
      <c r="B18" s="2" t="str">
        <f t="shared" si="0"/>
        <v>Agressivo-FOFs</v>
      </c>
      <c r="C18" s="2" t="s">
        <v>19</v>
      </c>
      <c r="D18" s="2" t="s">
        <v>26</v>
      </c>
      <c r="E18" s="28">
        <v>0.05</v>
      </c>
      <c r="F18" s="2"/>
    </row>
    <row r="19" spans="2:6">
      <c r="B19" s="2" t="str">
        <f t="shared" si="0"/>
        <v>Agressivo-DESENVOLVIMENTO</v>
      </c>
      <c r="C19" s="2" t="s">
        <v>19</v>
      </c>
      <c r="D19" s="2" t="s">
        <v>27</v>
      </c>
      <c r="E19" s="28">
        <v>0.2</v>
      </c>
      <c r="F19" s="2"/>
    </row>
    <row r="20" spans="2:6">
      <c r="B20" s="29" t="str">
        <f t="shared" si="0"/>
        <v>Agressivo-HOTELARIAS</v>
      </c>
      <c r="C20" s="29" t="s">
        <v>19</v>
      </c>
      <c r="D20" s="29" t="s">
        <v>28</v>
      </c>
      <c r="E20" s="30">
        <v>0.1</v>
      </c>
      <c r="F20" s="29"/>
    </row>
    <row r="24" spans="2:6">
      <c r="C24" s="14"/>
    </row>
    <row r="25" spans="2:6">
      <c r="C25" s="14"/>
    </row>
    <row r="26" spans="2:6">
      <c r="C26" s="14"/>
    </row>
    <row r="27" spans="2:6">
      <c r="C27" s="14"/>
    </row>
    <row r="28" spans="2:6">
      <c r="C28" s="14"/>
    </row>
    <row r="29" spans="2:6">
      <c r="C29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I39"/>
  <sheetViews>
    <sheetView showGridLines="0" showRowColHeaders="0" tabSelected="1" workbookViewId="0">
      <selection activeCell="C70" sqref="C7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4.4"/>
  <cols>
    <col min="1" max="1" width="6" customWidth="1"/>
    <col min="2" max="2" width="30.33203125" customWidth="1"/>
    <col min="3" max="3" width="18.44140625" customWidth="1"/>
    <col min="4" max="4" width="13" style="3" customWidth="1"/>
    <col min="5" max="5" width="8.6640625" customWidth="1"/>
  </cols>
  <sheetData>
    <row r="8" spans="2:9" ht="27">
      <c r="B8" s="34" t="s">
        <v>1</v>
      </c>
      <c r="C8" s="35"/>
      <c r="D8" s="36"/>
      <c r="I8" s="1"/>
    </row>
    <row r="9" spans="2:9">
      <c r="B9" s="32" t="s">
        <v>2</v>
      </c>
      <c r="C9" s="33"/>
      <c r="D9" s="19">
        <v>5000</v>
      </c>
    </row>
    <row r="10" spans="2:9">
      <c r="B10" s="32" t="s">
        <v>3</v>
      </c>
      <c r="C10" s="33"/>
      <c r="D10" s="20">
        <v>0.01</v>
      </c>
    </row>
    <row r="11" spans="2:9">
      <c r="B11" s="40" t="s">
        <v>4</v>
      </c>
      <c r="C11" s="41"/>
      <c r="D11" s="21">
        <f>D9*30%</f>
        <v>1500</v>
      </c>
    </row>
    <row r="13" spans="2:9" ht="29.4">
      <c r="B13" s="37" t="s">
        <v>5</v>
      </c>
      <c r="C13" s="38"/>
      <c r="D13" s="39"/>
    </row>
    <row r="14" spans="2:9">
      <c r="B14" s="32" t="s">
        <v>6</v>
      </c>
      <c r="C14" s="33"/>
      <c r="D14" s="19">
        <v>500</v>
      </c>
    </row>
    <row r="15" spans="2:9">
      <c r="B15" s="32" t="s">
        <v>7</v>
      </c>
      <c r="C15" s="33"/>
      <c r="D15" s="18">
        <v>5</v>
      </c>
    </row>
    <row r="16" spans="2:9">
      <c r="B16" s="32" t="s">
        <v>8</v>
      </c>
      <c r="C16" s="33"/>
      <c r="D16" s="24">
        <v>1.0789999999999999E-2</v>
      </c>
    </row>
    <row r="17" spans="1:4">
      <c r="B17" s="42" t="s">
        <v>9</v>
      </c>
      <c r="C17" s="43"/>
      <c r="D17" s="25" cm="1">
        <f t="array" ref="D17">FV(Tx_mensal,Qtde_Anos*12,Aport*-1)</f>
        <v>41888.456999243819</v>
      </c>
    </row>
    <row r="18" spans="1:4">
      <c r="B18" s="44" t="s">
        <v>10</v>
      </c>
      <c r="C18" s="45"/>
      <c r="D18" s="26" cm="1">
        <f t="array" ref="D18">Patrimonio*Rendimento_Carteira</f>
        <v>418.88456999243817</v>
      </c>
    </row>
    <row r="20" spans="1:4" ht="29.4">
      <c r="B20" s="37" t="s">
        <v>11</v>
      </c>
      <c r="C20" s="38"/>
      <c r="D20" s="22" t="s">
        <v>12</v>
      </c>
    </row>
    <row r="21" spans="1:4">
      <c r="A21" s="10">
        <v>2</v>
      </c>
      <c r="B21" s="6" t="s">
        <v>13</v>
      </c>
      <c r="C21" s="5">
        <f>FV($D$16,$A21*12,$D$14*-1)</f>
        <v>13613.813648822608</v>
      </c>
      <c r="D21" s="19" cm="1">
        <f t="array" ref="D21">C21*Rendimento_Carteira</f>
        <v>136.13813648822608</v>
      </c>
    </row>
    <row r="22" spans="1:4">
      <c r="A22" s="10">
        <v>5</v>
      </c>
      <c r="B22" s="6" t="s">
        <v>14</v>
      </c>
      <c r="C22" s="5">
        <f t="shared" ref="C22:C25" si="0">FV($D$16,$A22*12,$D$14*-1)</f>
        <v>41888.456999243819</v>
      </c>
      <c r="D22" s="19" cm="1">
        <f t="array" ref="D22">C22*Rendimento_Carteira</f>
        <v>418.88456999243817</v>
      </c>
    </row>
    <row r="23" spans="1:4">
      <c r="A23" s="10">
        <v>10</v>
      </c>
      <c r="B23" s="6" t="s">
        <v>15</v>
      </c>
      <c r="C23" s="5">
        <f t="shared" si="0"/>
        <v>121642.1062650861</v>
      </c>
      <c r="D23" s="19" cm="1">
        <f t="array" ref="D23">C23*Rendimento_Carteira</f>
        <v>1216.4210626508609</v>
      </c>
    </row>
    <row r="24" spans="1:4">
      <c r="A24" s="10">
        <v>20</v>
      </c>
      <c r="B24" s="6" t="s">
        <v>16</v>
      </c>
      <c r="C24" s="5">
        <f t="shared" si="0"/>
        <v>562599.20004854025</v>
      </c>
      <c r="D24" s="19" cm="1">
        <f t="array" ref="D24">C24*Rendimento_Carteira</f>
        <v>5625.992000485403</v>
      </c>
    </row>
    <row r="25" spans="1:4">
      <c r="A25" s="10">
        <v>30</v>
      </c>
      <c r="B25" s="7" t="s">
        <v>17</v>
      </c>
      <c r="C25" s="8">
        <f t="shared" si="0"/>
        <v>2161084.8275023573</v>
      </c>
      <c r="D25" s="21" cm="1">
        <f t="array" ref="D25">C25*Rendimento_Carteira</f>
        <v>21610.848275023574</v>
      </c>
    </row>
    <row r="28" spans="1:4">
      <c r="B28" s="9" t="s">
        <v>18</v>
      </c>
      <c r="C28" s="11" t="s">
        <v>19</v>
      </c>
      <c r="D28" s="11"/>
    </row>
    <row r="29" spans="1:4">
      <c r="B29" s="17" t="s">
        <v>20</v>
      </c>
      <c r="C29" s="12">
        <f>D14</f>
        <v>500</v>
      </c>
      <c r="D29" s="13"/>
    </row>
    <row r="30" spans="1:4">
      <c r="B30" s="14"/>
      <c r="C30" s="14"/>
      <c r="D30" s="14"/>
    </row>
    <row r="31" spans="1:4">
      <c r="B31" s="15" t="s">
        <v>21</v>
      </c>
      <c r="C31" s="15" t="s">
        <v>22</v>
      </c>
      <c r="D31" s="15" t="s">
        <v>0</v>
      </c>
    </row>
    <row r="32" spans="1:4">
      <c r="B32" s="14" t="s">
        <v>23</v>
      </c>
      <c r="C32" s="16">
        <f>VLOOKUP($C$28&amp;"-"&amp;B32,Auxiliar!B:E,4,FALSE)</f>
        <v>0.5</v>
      </c>
      <c r="D32" s="31">
        <f>C32*$C$29</f>
        <v>250</v>
      </c>
    </row>
    <row r="33" spans="2:4">
      <c r="B33" s="14" t="s">
        <v>24</v>
      </c>
      <c r="C33" s="16">
        <f>VLOOKUP($C$28&amp;"-"&amp;B33,Auxiliar!B:E,4,FALSE)</f>
        <v>0.1</v>
      </c>
      <c r="D33" s="31">
        <f t="shared" ref="D33:D37" si="1">C33*$C$29</f>
        <v>50</v>
      </c>
    </row>
    <row r="34" spans="2:4">
      <c r="B34" s="14" t="s">
        <v>25</v>
      </c>
      <c r="C34" s="16">
        <f>VLOOKUP($C$28&amp;"-"&amp;B34,Auxiliar!B:E,4,FALSE)</f>
        <v>0.05</v>
      </c>
      <c r="D34" s="31">
        <f t="shared" si="1"/>
        <v>25</v>
      </c>
    </row>
    <row r="35" spans="2:4">
      <c r="B35" s="14" t="s">
        <v>26</v>
      </c>
      <c r="C35" s="16">
        <f>VLOOKUP($C$28&amp;"-"&amp;B35,Auxiliar!B:E,4,FALSE)</f>
        <v>0.05</v>
      </c>
      <c r="D35" s="31">
        <f t="shared" si="1"/>
        <v>25</v>
      </c>
    </row>
    <row r="36" spans="2:4">
      <c r="B36" s="14" t="s">
        <v>27</v>
      </c>
      <c r="C36" s="16">
        <f>VLOOKUP($C$28&amp;"-"&amp;B36,Auxiliar!B:E,4,FALSE)</f>
        <v>0.2</v>
      </c>
      <c r="D36" s="31">
        <f t="shared" si="1"/>
        <v>100</v>
      </c>
    </row>
    <row r="37" spans="2:4">
      <c r="B37" s="14" t="s">
        <v>28</v>
      </c>
      <c r="C37" s="16">
        <f>VLOOKUP($C$28&amp;"-"&amp;B37,Auxiliar!B:E,4,FALSE)</f>
        <v>0.1</v>
      </c>
      <c r="D37" s="31">
        <f t="shared" si="1"/>
        <v>50</v>
      </c>
    </row>
    <row r="38" spans="2:4">
      <c r="B38" s="15"/>
      <c r="C38" s="15"/>
      <c r="D38" s="15">
        <v>200</v>
      </c>
    </row>
    <row r="39" spans="2:4">
      <c r="B39" s="2"/>
      <c r="C39" s="2"/>
      <c r="D39" s="23"/>
    </row>
  </sheetData>
  <mergeCells count="11">
    <mergeCell ref="B20:C20"/>
    <mergeCell ref="B15:C15"/>
    <mergeCell ref="B16:C16"/>
    <mergeCell ref="B17:C17"/>
    <mergeCell ref="B18:C18"/>
    <mergeCell ref="B14:C14"/>
    <mergeCell ref="B8:D8"/>
    <mergeCell ref="B13:D13"/>
    <mergeCell ref="B9:C9"/>
    <mergeCell ref="B10:C10"/>
    <mergeCell ref="B11:C11"/>
  </mergeCells>
  <dataValidations count="1">
    <dataValidation type="list" allowBlank="1" showInputMessage="1" showErrorMessage="1" sqref="C28">
      <formula1>"Conservador,Moderado,Agressivo"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Auxiliar</vt:lpstr>
      <vt:lpstr>Dio Invest</vt:lpstr>
      <vt:lpstr>Aport</vt:lpstr>
      <vt:lpstr>Patrimonio</vt:lpstr>
      <vt:lpstr>Qtde_Anos</vt:lpstr>
      <vt:lpstr>Rendimento_Carteira</vt:lpstr>
      <vt:lpstr>Salario</vt:lpstr>
      <vt:lpstr>Tx_mensal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Eliana</cp:lastModifiedBy>
  <cp:revision/>
  <dcterms:created xsi:type="dcterms:W3CDTF">2026-08-12T12:27:36Z</dcterms:created>
  <dcterms:modified xsi:type="dcterms:W3CDTF">2026-08-31T13:48:07Z</dcterms:modified>
  <cp:category/>
  <cp:contentStatus/>
</cp:coreProperties>
</file>