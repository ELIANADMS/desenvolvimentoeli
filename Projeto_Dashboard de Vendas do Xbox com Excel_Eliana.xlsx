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ana\Downloads\"/>
    </mc:Choice>
  </mc:AlternateContent>
  <bookViews>
    <workbookView xWindow="0" yWindow="0" windowWidth="23040" windowHeight="9192" tabRatio="1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TBL_Anual_totacalculo">C̳álculos!$B$10:$C$13</definedName>
    <definedName name="TBL_anual_total_calculo">#N/A</definedName>
    <definedName name="TBL_EAPlaySeasonPass_total">C̳álculos!$B$20:$C$24</definedName>
  </definedNames>
  <calcPr calcId="162913"/>
  <pivotCaches>
    <pivotCache cacheId="1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13" i="3"/>
</calcChain>
</file>

<file path=xl/sharedStrings.xml><?xml version="1.0" encoding="utf-8"?>
<sst xmlns="http://schemas.openxmlformats.org/spreadsheetml/2006/main" count="2008" uniqueCount="323">
  <si>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</si>
  <si>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</si>
  <si>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</si>
  <si>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</si>
  <si>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</si>
  <si>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</si>
  <si>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</si>
  <si>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</si>
  <si>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</si>
  <si>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</si>
  <si>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</si>
  <si>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</si>
  <si>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</si>
  <si>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</si>
  <si>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</si>
  <si>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</si>
  <si>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</si>
  <si>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</si>
  <si>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</si>
  <si>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</si>
  <si>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</si>
  <si>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</si>
  <si>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</si>
  <si>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</si>
  <si>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</si>
  <si>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</si>
  <si>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</si>
  <si>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</si>
  <si>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</si>
  <si>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</si>
  <si>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</si>
  <si>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</si>
  <si>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</si>
  <si>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</si>
  <si>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</si>
  <si>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</si>
  <si>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</si>
  <si>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</si>
  <si>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</si>
  <si>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</si>
  <si>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</si>
  <si>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</si>
  <si>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</si>
  <si>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</si>
  <si>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</si>
  <si>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</si>
  <si>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</si>
  <si>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</si>
  <si>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</si>
  <si>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</si>
  <si>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</si>
  <si>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</si>
  <si>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</si>
  <si>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</si>
  <si>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</si>
  <si>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</si>
  <si>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</si>
  <si>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</si>
  <si>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</si>
  <si>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</si>
  <si>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</si>
  <si>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</si>
  <si>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</si>
  <si>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</si>
  <si>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</si>
  <si>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</si>
  <si>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</si>
  <si>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</si>
  <si>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</si>
  <si>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</si>
  <si>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</si>
  <si>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</si>
  <si>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</si>
  <si>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</si>
  <si>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</si>
  <si>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</si>
  <si>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</si>
  <si>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</si>
  <si>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</si>
  <si>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</si>
  <si>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</si>
  <si>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</si>
  <si>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</si>
  <si>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</si>
  <si>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</si>
  <si>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</si>
  <si>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</si>
  <si>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</si>
  <si>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</si>
  <si>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</si>
  <si>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</si>
  <si>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</si>
  <si>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</si>
  <si>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</si>
  <si>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</si>
  <si>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</si>
  <si>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</si>
  <si>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</si>
  <si>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</si>
  <si>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</si>
  <si>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</si>
  <si>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</si>
  <si>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</si>
  <si>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</si>
  <si>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</si>
  <si>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</si>
  <si>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</si>
  <si>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</si>
  <si>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</si>
  <si>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</si>
  <si>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</si>
  <si>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</si>
  <si>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</si>
  <si>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</si>
  <si>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</si>
  <si>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</si>
  <si>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</si>
  <si>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</si>
  <si>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</si>
  <si>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</si>
  <si>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</si>
  <si>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</si>
  <si>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</si>
  <si>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</si>
  <si>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</si>
  <si>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</si>
  <si>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</si>
  <si>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</si>
  <si>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</si>
  <si>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</si>
  <si>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</si>
  <si>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</si>
  <si>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</si>
  <si>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</si>
  <si>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</si>
  <si>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</si>
  <si>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</si>
  <si>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</si>
  <si>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</si>
  <si>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</si>
  <si>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</si>
  <si>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</si>
  <si>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</si>
  <si>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</si>
  <si>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</si>
  <si>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</si>
  <si>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</si>
  <si>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</si>
  <si>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</si>
  <si>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</si>
  <si>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</si>
  <si>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</si>
  <si>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</si>
  <si>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</si>
  <si>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</si>
  <si>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</si>
  <si>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</si>
  <si>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</si>
  <si>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</si>
  <si>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</si>
  <si>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</si>
  <si>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</si>
  <si>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</si>
  <si>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</si>
  <si>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</si>
  <si>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</si>
  <si>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</si>
  <si>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</si>
  <si>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</si>
  <si>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</si>
  <si>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</si>
  <si>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</si>
  <si>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</si>
  <si>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</si>
  <si>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</si>
  <si>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</si>
  <si>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</si>
  <si>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</si>
  <si>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</si>
  <si>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</si>
  <si>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</si>
  <si>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</si>
  <si>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</si>
  <si>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</si>
  <si>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</si>
  <si>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</si>
  <si>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</si>
  <si>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</si>
  <si>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</si>
  <si>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</si>
  <si>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</si>
  <si>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</si>
  <si>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</si>
  <si>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</si>
  <si>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</si>
  <si>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</si>
  <si>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</si>
  <si>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</si>
  <si>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</si>
  <si>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</si>
  <si>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</si>
  <si>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</si>
  <si>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</si>
  <si>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</si>
  <si>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</si>
  <si>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</si>
  <si>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</si>
  <si>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</si>
  <si>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</si>
  <si>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</si>
  <si>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</si>
  <si>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</si>
  <si>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</si>
  <si>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</si>
  <si>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</si>
  <si>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</si>
  <si>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</si>
  <si>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</si>
  <si>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</si>
  <si>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</si>
  <si>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</si>
  <si>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</si>
  <si>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</si>
  <si>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</si>
  <si>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</si>
  <si>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</si>
  <si>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</si>
  <si>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</si>
  <si>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</si>
  <si>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</si>
  <si>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</si>
  <si>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</si>
  <si>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</si>
  <si>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</si>
  <si>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</si>
  <si>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</si>
  <si>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</si>
  <si>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</si>
  <si>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</si>
  <si>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</si>
  <si>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</si>
  <si>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</si>
  <si>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</si>
  <si>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</si>
  <si>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</si>
  <si>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</si>
  <si>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</si>
  <si>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</si>
  <si>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</si>
  <si>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</si>
  <si>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</si>
  <si>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</si>
  <si>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</si>
  <si>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</si>
  <si>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</si>
  <si>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</si>
  <si>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</si>
  <si>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</si>
  <si>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</si>
  <si>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</si>
  <si>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</si>
  <si>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</si>
  <si>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</si>
  <si>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</si>
  <si>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</si>
  <si>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</si>
  <si>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</si>
  <si>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</si>
  <si>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</si>
  <si>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</si>
  <si>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</si>
  <si>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</si>
  <si>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</si>
  <si>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</si>
  <si>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</si>
  <si>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</si>
  <si>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</si>
  <si>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</si>
  <si>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</si>
  <si>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</si>
  <si>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</si>
  <si>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</si>
  <si>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</si>
  <si>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</si>
  <si>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</si>
  <si>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</si>
  <si>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</si>
  <si>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</si>
  <si>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</si>
  <si>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</si>
  <si>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</si>
  <si>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</si>
  <si>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</si>
  <si>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</si>
  <si>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</si>
  <si>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</si>
  <si>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</si>
  <si>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</si>
  <si>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</si>
  <si>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</si>
  <si>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</si>
  <si>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</si>
  <si>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</si>
  <si>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</si>
  <si>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</si>
  <si>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</si>
  <si>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</si>
  <si>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</si>
  <si>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</si>
  <si>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</si>
  <si>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</si>
  <si>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</si>
  <si>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</si>
  <si>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</si>
  <si>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</si>
  <si>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</si>
  <si>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</si>
  <si>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agregadas).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</si>
  <si>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não é por auto renovação.</t>
    </r>
  </si>
  <si>
    <t xml:space="preserve"> XBOX GAME PASS SUBSCRIPTIONS SALES</t>
  </si>
  <si>
    <t>(Tudo)</t>
  </si>
  <si>
    <t>Soma de Subscriber ID</t>
  </si>
  <si>
    <t>Pergunta Negócio 3 - Total Geral de 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</si>
</sst>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70" formatCode="_-* #,##0_-;\-* #,##0_-;_-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13"/>
      <color rgb="FF22C55E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3" applyNumberFormat="1" applyFont="1"/>
    <xf numFmtId="164" fontId="0" fillId="0" borderId="0" xfId="0" applyNumberFormat="1"/>
    <xf numFmtId="0" fontId="0" fillId="10" borderId="0" xfId="0" applyFill="1"/>
    <xf numFmtId="0" fontId="0" fillId="11" borderId="0" xfId="0" applyFill="1"/>
    <xf numFmtId="0" fontId="7" fillId="11" borderId="3" xfId="4" applyFont="1" applyFill="1" applyBorder="1"/>
    <xf numFmtId="0" fontId="6" fillId="9" borderId="0" xfId="5" applyFont="1" applyFill="1" applyAlignment="1">
      <alignment horizontal="center"/>
    </xf>
    <xf numFmtId="0" fontId="0" fillId="7" borderId="0" xfId="0" applyFill="1" applyAlignment="1">
      <alignment horizontal="center"/>
    </xf>
    <xf numFmtId="170" fontId="0" fillId="0" borderId="0" xfId="3" applyNumberFormat="1" applyFont="1"/>
  </cellXfs>
  <cellStyles count="6">
    <cellStyle name="Moeda" xfId="2" builtinId="4"/>
    <cellStyle name="Neutra" xfId="5" builtinId="28"/>
    <cellStyle name="Normal" xfId="0" builtinId="0"/>
    <cellStyle name="Título 1" xfId="1" builtinId="16"/>
    <cellStyle name="Título 2" xfId="4" builtinId="17"/>
    <cellStyle name="Vírgula" xfId="3" builtinId="3"/>
  </cellStyles>
  <dxfs count="23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color rgb="FF9C0006"/>
      </font>
      <fill>
        <patternFill>
          <bgColor rgb="FFFFC7CE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22"/>
      <tableStyleElement type="headerRow" dxfId="21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 de Vendas do Xbox com Excel_Eliana.xlsx]C̳álculos!Tabela dinâmica1</c:name>
    <c:fmtId val="3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603005017631718"/>
          <c:y val="0.17373317721929957"/>
          <c:w val="0.816191340558171"/>
          <c:h val="0.770294946812027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_-[$R$-416]\ * #,##0.00_-;\-[$R$-416]\ * #,##0.00_-;_-[$R$-416]\ * "-"??_-;_-@_-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B-48E4-97AF-169BDC297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0586128"/>
        <c:axId val="230590704"/>
      </c:barChart>
      <c:catAx>
        <c:axId val="23058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0590704"/>
        <c:crosses val="autoZero"/>
        <c:auto val="1"/>
        <c:lblAlgn val="ctr"/>
        <c:lblOffset val="100"/>
        <c:noMultiLvlLbl val="0"/>
      </c:catAx>
      <c:valAx>
        <c:axId val="230590704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3058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png"/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59055</xdr:colOff>
      <xdr:row>28</xdr:row>
      <xdr:rowOff>38099</xdr:rowOff>
    </xdr:from>
    <xdr:to>
      <xdr:col>3</xdr:col>
      <xdr:colOff>450291</xdr:colOff>
      <xdr:row>32</xdr:row>
      <xdr:rowOff>28575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729615" y="51130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373380</xdr:colOff>
      <xdr:row>21</xdr:row>
      <xdr:rowOff>106680</xdr:rowOff>
    </xdr:from>
    <xdr:to>
      <xdr:col>5</xdr:col>
      <xdr:colOff>502920</xdr:colOff>
      <xdr:row>30</xdr:row>
      <xdr:rowOff>0</xdr:rowOff>
    </xdr:to>
    <xdr:pic>
      <xdr:nvPicPr>
        <xdr:cNvPr id="13" name="Imagem 12" descr="Xbox Controller Icon PNG Transparent Background, Free Download #32490 -  FreeIconsPN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060" y="3954780"/>
          <a:ext cx="147066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6</xdr:row>
      <xdr:rowOff>180974</xdr:rowOff>
    </xdr:from>
    <xdr:to>
      <xdr:col>0</xdr:col>
      <xdr:colOff>1562099</xdr:colOff>
      <xdr:row>13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4" y="1362074"/>
              <a:ext cx="1533525" cy="13087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1504950</xdr:colOff>
      <xdr:row>0</xdr:row>
      <xdr:rowOff>32004</xdr:rowOff>
    </xdr:from>
    <xdr:to>
      <xdr:col>2</xdr:col>
      <xdr:colOff>523875</xdr:colOff>
      <xdr:row>2</xdr:row>
      <xdr:rowOff>9526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0" t="23148" r="71642" b="20370"/>
        <a:stretch/>
      </xdr:blipFill>
      <xdr:spPr>
        <a:xfrm>
          <a:off x="1504950" y="203454"/>
          <a:ext cx="885825" cy="720472"/>
        </a:xfrm>
        <a:prstGeom prst="rect">
          <a:avLst/>
        </a:prstGeom>
      </xdr:spPr>
    </xdr:pic>
    <xdr:clientData/>
  </xdr:twoCellAnchor>
  <xdr:twoCellAnchor>
    <xdr:from>
      <xdr:col>1</xdr:col>
      <xdr:colOff>131445</xdr:colOff>
      <xdr:row>5</xdr:row>
      <xdr:rowOff>24765</xdr:rowOff>
    </xdr:from>
    <xdr:to>
      <xdr:col>7</xdr:col>
      <xdr:colOff>190500</xdr:colOff>
      <xdr:row>11</xdr:row>
      <xdr:rowOff>146684</xdr:rowOff>
    </xdr:to>
    <xdr:grpSp>
      <xdr:nvGrpSpPr>
        <xdr:cNvPr id="10" name="Agrupar 9"/>
        <xdr:cNvGrpSpPr/>
      </xdr:nvGrpSpPr>
      <xdr:grpSpPr>
        <a:xfrm>
          <a:off x="1724025" y="1083945"/>
          <a:ext cx="3686175" cy="1363979"/>
          <a:chOff x="2653665" y="1061085"/>
          <a:chExt cx="4307205" cy="1367789"/>
        </a:xfrm>
      </xdr:grpSpPr>
      <xdr:sp macro="" textlink="C̳álculos!E13">
        <xdr:nvSpPr>
          <xdr:cNvPr id="8" name="Retângulo Arredondado 7"/>
          <xdr:cNvSpPr/>
        </xdr:nvSpPr>
        <xdr:spPr>
          <a:xfrm>
            <a:off x="2653665" y="1064894"/>
            <a:ext cx="4299585" cy="136398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161189C1-9C3E-461F-A14F-AF9449237C12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 R$ 7.633,00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0804" y="1186815"/>
            <a:ext cx="1348741" cy="1125855"/>
          </a:xfrm>
          <a:prstGeom prst="rect">
            <a:avLst/>
          </a:prstGeom>
        </xdr:spPr>
      </xdr:pic>
      <xdr:sp macro="" textlink="">
        <xdr:nvSpPr>
          <xdr:cNvPr id="4" name="Arredondar Retângulo no Mesmo Canto Lateral 3"/>
          <xdr:cNvSpPr/>
        </xdr:nvSpPr>
        <xdr:spPr>
          <a:xfrm>
            <a:off x="2661285" y="1061085"/>
            <a:ext cx="4299585" cy="3333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SUBCRIPTIONS EA PLAY SEASON PASS</a:t>
            </a:r>
          </a:p>
        </xdr:txBody>
      </xdr:sp>
    </xdr:grpSp>
    <xdr:clientData/>
  </xdr:twoCellAnchor>
  <xdr:twoCellAnchor>
    <xdr:from>
      <xdr:col>7</xdr:col>
      <xdr:colOff>287655</xdr:colOff>
      <xdr:row>5</xdr:row>
      <xdr:rowOff>26670</xdr:rowOff>
    </xdr:from>
    <xdr:to>
      <xdr:col>13</xdr:col>
      <xdr:colOff>104775</xdr:colOff>
      <xdr:row>11</xdr:row>
      <xdr:rowOff>163829</xdr:rowOff>
    </xdr:to>
    <xdr:grpSp>
      <xdr:nvGrpSpPr>
        <xdr:cNvPr id="18" name="Agrupar 17"/>
        <xdr:cNvGrpSpPr/>
      </xdr:nvGrpSpPr>
      <xdr:grpSpPr>
        <a:xfrm>
          <a:off x="5507355" y="1085850"/>
          <a:ext cx="3672840" cy="1379219"/>
          <a:chOff x="7553325" y="1289685"/>
          <a:chExt cx="4299585" cy="1383029"/>
        </a:xfrm>
      </xdr:grpSpPr>
      <xdr:grpSp>
        <xdr:nvGrpSpPr>
          <xdr:cNvPr id="11" name="Agrupar 10"/>
          <xdr:cNvGrpSpPr/>
        </xdr:nvGrpSpPr>
        <xdr:grpSpPr>
          <a:xfrm>
            <a:off x="7553325" y="1289685"/>
            <a:ext cx="4299585" cy="1383029"/>
            <a:chOff x="2684145" y="1061085"/>
            <a:chExt cx="4299585" cy="1383029"/>
          </a:xfrm>
        </xdr:grpSpPr>
        <xdr:sp macro="" textlink="C̳álculos!E24">
          <xdr:nvSpPr>
            <xdr:cNvPr id="12" name="Retângulo Arredondado 11"/>
            <xdr:cNvSpPr/>
          </xdr:nvSpPr>
          <xdr:spPr>
            <a:xfrm>
              <a:off x="2684145" y="1080134"/>
              <a:ext cx="4299585" cy="136398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31DB17CA-E360-4830-A904-B507B008F0E5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algn="r"/>
                <a:t> R$ 990,00 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4" name="Arredondar Retângulo no Mesmo Canto Lateral 13"/>
            <xdr:cNvSpPr/>
          </xdr:nvSpPr>
          <xdr:spPr>
            <a:xfrm>
              <a:off x="2684145" y="1061085"/>
              <a:ext cx="4299585" cy="3333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SUBCRIPTIONS MINECRAFT SEASON PASS</a:t>
              </a:r>
            </a:p>
          </xdr:txBody>
        </xdr:sp>
      </xdr:grp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852033" y="1739265"/>
            <a:ext cx="1339215" cy="584835"/>
            <a:chOff x="3277038" y="5400674"/>
            <a:chExt cx="1549476" cy="752476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779971" y="5400674"/>
              <a:ext cx="555498" cy="609600"/>
            </a:xfrm>
            <a:prstGeom prst="rect">
              <a:avLst/>
            </a:prstGeom>
          </xdr:spPr>
        </xdr:pic>
        <xdr:pic>
          <xdr:nvPicPr>
            <xdr:cNvPr id="17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277038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166159</xdr:colOff>
      <xdr:row>12</xdr:row>
      <xdr:rowOff>93134</xdr:rowOff>
    </xdr:from>
    <xdr:to>
      <xdr:col>18</xdr:col>
      <xdr:colOff>571500</xdr:colOff>
      <xdr:row>36</xdr:row>
      <xdr:rowOff>114300</xdr:rowOff>
    </xdr:to>
    <xdr:grpSp>
      <xdr:nvGrpSpPr>
        <xdr:cNvPr id="20" name="Agrupar 19"/>
        <xdr:cNvGrpSpPr/>
      </xdr:nvGrpSpPr>
      <xdr:grpSpPr>
        <a:xfrm>
          <a:off x="1758739" y="2569634"/>
          <a:ext cx="11240981" cy="4227406"/>
          <a:chOff x="1757892" y="2946401"/>
          <a:chExt cx="9147175" cy="3613567"/>
        </a:xfrm>
      </xdr:grpSpPr>
      <xdr:grpSp>
        <xdr:nvGrpSpPr>
          <xdr:cNvPr id="7" name="Agrupar 6"/>
          <xdr:cNvGrpSpPr/>
        </xdr:nvGrpSpPr>
        <xdr:grpSpPr>
          <a:xfrm>
            <a:off x="1757892" y="2950628"/>
            <a:ext cx="9147175" cy="3609340"/>
            <a:chOff x="1914525" y="2924175"/>
            <a:chExt cx="4457700" cy="2438400"/>
          </a:xfrm>
        </xdr:grpSpPr>
        <xdr:sp macro="" textlink="">
          <xdr:nvSpPr>
            <xdr:cNvPr id="6" name="Retângulo Arredondado 5"/>
            <xdr:cNvSpPr/>
          </xdr:nvSpPr>
          <xdr:spPr>
            <a:xfrm>
              <a:off x="1914525" y="2924175"/>
              <a:ext cx="4457700" cy="24384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1924332" y="3009900"/>
            <a:ext cx="4190718" cy="229933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19" name="Arredondar Retângulo no Mesmo Canto Lateral 18"/>
          <xdr:cNvSpPr/>
        </xdr:nvSpPr>
        <xdr:spPr>
          <a:xfrm>
            <a:off x="1781594" y="2946401"/>
            <a:ext cx="9106540" cy="44788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SUBCRIPTIONS XBOX GAME PASS</a:t>
            </a:r>
          </a:p>
        </xdr:txBody>
      </xdr:sp>
    </xdr:grpSp>
    <xdr:clientData/>
  </xdr:twoCellAnchor>
  <xdr:twoCellAnchor>
    <xdr:from>
      <xdr:col>0</xdr:col>
      <xdr:colOff>278130</xdr:colOff>
      <xdr:row>0</xdr:row>
      <xdr:rowOff>68580</xdr:rowOff>
    </xdr:from>
    <xdr:to>
      <xdr:col>0</xdr:col>
      <xdr:colOff>1240155</xdr:colOff>
      <xdr:row>2</xdr:row>
      <xdr:rowOff>87630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278130" y="68580"/>
          <a:ext cx="962025" cy="758190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19050</xdr:colOff>
      <xdr:row>2</xdr:row>
      <xdr:rowOff>85724</xdr:rowOff>
    </xdr:from>
    <xdr:to>
      <xdr:col>0</xdr:col>
      <xdr:colOff>1571624</xdr:colOff>
      <xdr:row>4</xdr:row>
      <xdr:rowOff>123825</xdr:rowOff>
    </xdr:to>
    <xdr:sp macro="" textlink="">
      <xdr:nvSpPr>
        <xdr:cNvPr id="22" name="Arredondar Retângulo no Mesmo Canto Lateral 21"/>
        <xdr:cNvSpPr/>
      </xdr:nvSpPr>
      <xdr:spPr>
        <a:xfrm>
          <a:off x="19050" y="1000124"/>
          <a:ext cx="1552574" cy="22860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&gt;</a:t>
          </a:r>
          <a:r>
            <a:rPr lang="pt-BR" sz="1200" b="1" baseline="0"/>
            <a:t> bem vida, Liana</a:t>
          </a:r>
          <a:endParaRPr lang="pt-BR" sz="1200" b="1"/>
        </a:p>
      </xdr:txBody>
    </xdr:sp>
    <xdr:clientData/>
  </xdr:twoCellAnchor>
  <xdr:twoCellAnchor editAs="absolute">
    <xdr:from>
      <xdr:col>1</xdr:col>
      <xdr:colOff>129540</xdr:colOff>
      <xdr:row>2</xdr:row>
      <xdr:rowOff>38100</xdr:rowOff>
    </xdr:from>
    <xdr:to>
      <xdr:col>9</xdr:col>
      <xdr:colOff>246579</xdr:colOff>
      <xdr:row>4</xdr:row>
      <xdr:rowOff>63665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1722120" y="777240"/>
          <a:ext cx="5085279" cy="216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13</xdr:col>
      <xdr:colOff>211455</xdr:colOff>
      <xdr:row>5</xdr:row>
      <xdr:rowOff>26670</xdr:rowOff>
    </xdr:from>
    <xdr:to>
      <xdr:col>18</xdr:col>
      <xdr:colOff>533400</xdr:colOff>
      <xdr:row>11</xdr:row>
      <xdr:rowOff>163829</xdr:rowOff>
    </xdr:to>
    <xdr:grpSp>
      <xdr:nvGrpSpPr>
        <xdr:cNvPr id="25" name="Agrupar 24"/>
        <xdr:cNvGrpSpPr/>
      </xdr:nvGrpSpPr>
      <xdr:grpSpPr>
        <a:xfrm>
          <a:off x="9286875" y="1085850"/>
          <a:ext cx="3674745" cy="1379219"/>
          <a:chOff x="2684145" y="1061085"/>
          <a:chExt cx="4299585" cy="1383029"/>
        </a:xfrm>
      </xdr:grpSpPr>
      <xdr:sp macro="" textlink="C̳álculos!E24">
        <xdr:nvSpPr>
          <xdr:cNvPr id="29" name="Retângulo Arredondado 28"/>
          <xdr:cNvSpPr/>
        </xdr:nvSpPr>
        <xdr:spPr>
          <a:xfrm>
            <a:off x="2684145" y="1080134"/>
            <a:ext cx="4299585" cy="136398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F57D2267-27C0-4DAE-AC38-8727776B9B30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 996.510 </a:t>
            </a:fld>
            <a:endParaRPr lang="pt-BR" sz="3200">
              <a:solidFill>
                <a:srgbClr val="22C55E"/>
              </a:solidFill>
            </a:endParaRPr>
          </a:p>
        </xdr:txBody>
      </xdr:sp>
      <xdr:sp macro="" textlink="">
        <xdr:nvSpPr>
          <xdr:cNvPr id="30" name="Arredondar Retângulo no Mesmo Canto Lateral 29"/>
          <xdr:cNvSpPr/>
        </xdr:nvSpPr>
        <xdr:spPr>
          <a:xfrm>
            <a:off x="2684145" y="1061085"/>
            <a:ext cx="4299585" cy="3333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QUANTIDADE</a:t>
            </a:r>
            <a:r>
              <a:rPr lang="pt-BR" sz="1100" baseline="0"/>
              <a:t> GERAL DE</a:t>
            </a:r>
            <a:r>
              <a:rPr lang="pt-BR" sz="1100"/>
              <a:t> SUBCRIPTIONS </a:t>
            </a:r>
          </a:p>
        </xdr:txBody>
      </xdr:sp>
    </xdr:grpSp>
    <xdr:clientData/>
  </xdr:twoCellAnchor>
  <xdr:twoCellAnchor editAs="oneCell">
    <xdr:from>
      <xdr:col>14</xdr:col>
      <xdr:colOff>28575</xdr:colOff>
      <xdr:row>6</xdr:row>
      <xdr:rowOff>266700</xdr:rowOff>
    </xdr:from>
    <xdr:to>
      <xdr:col>15</xdr:col>
      <xdr:colOff>318135</xdr:colOff>
      <xdr:row>10</xdr:row>
      <xdr:rowOff>137160</xdr:rowOff>
    </xdr:to>
    <xdr:pic>
      <xdr:nvPicPr>
        <xdr:cNvPr id="32" name="Imagem 31" descr="Xbox Controller Icon PNG Transparent Background, Free Download #32490 -  FreeIconsPN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1628775"/>
          <a:ext cx="956310" cy="803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iana" refreshedDate="46285.766710995369" createdVersion="6" refreshedVersion="6" minRefreshableVersion="3" recordCount="295">
  <cacheSource type="worksheet">
    <worksheetSource name="TBL_Anual_Total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3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0:B21" firstHeaderRow="1" firstDataRow="1" firstDataCol="0" rowPageCount="1" colPageCount="1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Subscrib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TBL_anual_total_calculo" sourceName="Subscription Type">
  <pivotTables>
    <pivotTable tabId="3" name="Tabela dinâmica1"/>
    <pivotTable tabId="3" name="Tabela dinâmica3"/>
  </pivotTables>
  <data>
    <tabular pivotCacheId="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TBL_anual_total_calculo" caption="Subscription Type" style="SlicerStyleLight6 2" rowHeight="234950"/>
</slicers>
</file>

<file path=xl/tables/table1.xml><?xml version="1.0" encoding="utf-8"?>
<table xmlns="http://schemas.openxmlformats.org/spreadsheetml/2006/main" id="1" name="TBL_Anual_Total" displayName="TBL_Anual_Total" ref="A1:M296" totalsRowShown="0" dataDxfId="20">
  <autoFilter ref="A1:M296">
    <filterColumn colId="7">
      <filters>
        <filter val="Yes"/>
      </filters>
    </filterColumn>
  </autoFilter>
  <tableColumns count="13">
    <tableColumn id="1" name="Subscriber ID" dataDxfId="19"/>
    <tableColumn id="2" name="Name" dataDxfId="18"/>
    <tableColumn id="3" name="Plan" dataDxfId="17"/>
    <tableColumn id="4" name="Start Date" dataDxfId="16"/>
    <tableColumn id="5" name="Auto Renewal" dataDxfId="15"/>
    <tableColumn id="6" name="Subscription Price" dataDxfId="14" dataCellStyle="Moeda"/>
    <tableColumn id="7" name="Subscription Type" dataDxfId="13"/>
    <tableColumn id="8" name="EA Play Season Pass" dataDxfId="12"/>
    <tableColumn id="13" name="EA Play Season Pass_x000a_Price" dataDxfId="11" dataCellStyle="Moeda"/>
    <tableColumn id="9" name="Minecraft Season Pass" dataDxfId="10"/>
    <tableColumn id="10" name="Minecraft Season Pass Price" dataDxfId="9" dataCellStyle="Moeda"/>
    <tableColumn id="11" name="Coupon Value" dataDxfId="8" dataCellStyle="Moeda"/>
    <tableColumn id="12" name="Total Value" dataDxfId="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7" zoomScaleNormal="100" workbookViewId="0">
      <selection activeCell="N16" sqref="N16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pane ySplit="1" topLeftCell="A2" activePane="bottomLeft" state="frozen"/>
      <selection pane="bottomLeft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4.4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conditionalFormatting sqref="B1:B1048576">
    <cfRule type="duplicateValues" dxfId="3" priority="1"/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F291"/>
  <sheetViews>
    <sheetView showGridLines="0" workbookViewId="0">
      <selection activeCell="B21" sqref="B21"/>
    </sheetView>
  </sheetViews>
  <sheetFormatPr defaultRowHeight="13.8"/>
  <cols>
    <col min="1" max="1" width="1.8984375" customWidth="1"/>
    <col min="2" max="2" width="21.19921875" customWidth="1"/>
    <col min="3" max="3" width="8.296875" style="15" customWidth="1"/>
    <col min="4" max="4" width="38.19921875" bestFit="1" customWidth="1"/>
    <col min="5" max="5" width="12.5976562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2" spans="2:6">
      <c r="B2" s="20" t="s">
        <v>316</v>
      </c>
      <c r="C2" s="20"/>
      <c r="D2" s="20"/>
      <c r="E2" s="20"/>
      <c r="F2" s="20"/>
    </row>
    <row r="3" spans="2:6">
      <c r="C3"/>
    </row>
    <row r="4" spans="2:6">
      <c r="C4"/>
    </row>
    <row r="5" spans="2:6">
      <c r="B5" t="s">
        <v>317</v>
      </c>
      <c r="C5"/>
    </row>
    <row r="6" spans="2:6">
      <c r="B6" t="s">
        <v>318</v>
      </c>
      <c r="C6"/>
    </row>
    <row r="8" spans="2:6">
      <c r="B8" s="12" t="s">
        <v>16</v>
      </c>
      <c r="C8" t="s">
        <v>320</v>
      </c>
    </row>
    <row r="10" spans="2:6">
      <c r="B10" s="12" t="s">
        <v>313</v>
      </c>
      <c r="C10" s="16" t="s">
        <v>315</v>
      </c>
    </row>
    <row r="11" spans="2:6">
      <c r="B11" s="13" t="s">
        <v>23</v>
      </c>
      <c r="C11" s="16">
        <v>3847</v>
      </c>
    </row>
    <row r="12" spans="2:6">
      <c r="B12" s="13" t="s">
        <v>19</v>
      </c>
      <c r="C12" s="16">
        <v>3786</v>
      </c>
    </row>
    <row r="13" spans="2:6">
      <c r="B13" s="13" t="s">
        <v>314</v>
      </c>
      <c r="C13" s="16">
        <v>7633</v>
      </c>
      <c r="E13" s="16">
        <f>GETPIVOTDATA("Total Value",$B$10)</f>
        <v>7633</v>
      </c>
    </row>
    <row r="14" spans="2:6">
      <c r="C14"/>
    </row>
    <row r="15" spans="2:6">
      <c r="C15"/>
    </row>
    <row r="16" spans="2:6">
      <c r="B16" s="13" t="s">
        <v>322</v>
      </c>
      <c r="C16"/>
    </row>
    <row r="17" spans="2:5">
      <c r="B17" s="13"/>
      <c r="C17"/>
    </row>
    <row r="18" spans="2:5">
      <c r="B18" s="12" t="s">
        <v>16</v>
      </c>
      <c r="C18" t="s">
        <v>320</v>
      </c>
    </row>
    <row r="19" spans="2:5">
      <c r="C19"/>
    </row>
    <row r="20" spans="2:5">
      <c r="B20" t="s">
        <v>321</v>
      </c>
      <c r="C20"/>
    </row>
    <row r="21" spans="2:5">
      <c r="B21" s="14">
        <v>996510</v>
      </c>
      <c r="C21"/>
    </row>
    <row r="22" spans="2:5">
      <c r="C22"/>
    </row>
    <row r="23" spans="2:5">
      <c r="C23"/>
    </row>
    <row r="24" spans="2:5">
      <c r="C24"/>
      <c r="E24" s="22">
        <f>GETPIVOTDATA("Subscriber ID",$B$20)</f>
        <v>996510</v>
      </c>
    </row>
    <row r="25" spans="2:5">
      <c r="C25"/>
    </row>
    <row r="26" spans="2:5">
      <c r="C26"/>
    </row>
    <row r="27" spans="2:5">
      <c r="C27"/>
    </row>
    <row r="28" spans="2:5">
      <c r="C28"/>
    </row>
    <row r="29" spans="2:5">
      <c r="C29"/>
    </row>
    <row r="30" spans="2:5">
      <c r="C30"/>
    </row>
    <row r="31" spans="2:5">
      <c r="C31"/>
    </row>
    <row r="32" spans="2:5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3"/>
  <sheetViews>
    <sheetView showGridLines="0" showRowColHeaders="0" tabSelected="1" zoomScaleNormal="100" workbookViewId="0">
      <selection activeCell="T29" sqref="T29"/>
    </sheetView>
  </sheetViews>
  <sheetFormatPr defaultRowHeight="13.8"/>
  <cols>
    <col min="1" max="1" width="20.8984375" style="4" customWidth="1"/>
    <col min="2" max="2" width="3.59765625" customWidth="1"/>
    <col min="12" max="12" width="6.59765625" customWidth="1"/>
  </cols>
  <sheetData>
    <row r="1" spans="1:42" s="18" customFormat="1" ht="39" customHeight="1" thickBot="1">
      <c r="A1" s="4"/>
      <c r="C1" s="19"/>
      <c r="D1" s="19" t="s">
        <v>319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42" s="18" customFormat="1" ht="19.2" customHeight="1" thickTop="1">
      <c r="A2" s="4"/>
    </row>
    <row r="3" spans="1:42" s="17" customFormat="1" ht="8.25" customHeight="1">
      <c r="A3" s="4"/>
      <c r="B3" s="7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s="17" customFormat="1" ht="7.5" customHeight="1">
      <c r="A4" s="4"/>
      <c r="B4" s="7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s="17" customFormat="1" ht="10.5" customHeight="1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s="17" customFormat="1" ht="9.75" customHeight="1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s="17" customFormat="1" ht="33" customHeight="1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s="17" customFormat="1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s="17" customFormat="1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s="17" customFormat="1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s="17" customFormat="1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s="17" customFormat="1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s="17" customFormat="1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s="17" customFormat="1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s="17" customFormat="1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s="17" customFormat="1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s="17" customFormat="1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s="17" customFormat="1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s="17" customFormat="1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s="17" customFormat="1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s="17" customFormat="1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s="17" customFormat="1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s="17" customFormat="1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s="17" customFormat="1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s="17" customFormat="1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s="17" customFormat="1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s="17" customFormat="1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s="17" customFormat="1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s="17" customFormat="1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s="17" customFormat="1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s="17" customFormat="1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s="17" customFormat="1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s="17" customFormat="1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s="17" customFormat="1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s="17" customFormat="1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s="17" customFormat="1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s="17" customFormat="1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s="17" customFormat="1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s="17" customFormat="1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s="17" customFormat="1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s="17" customFormat="1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s="17" customFormat="1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s="17" customFormat="1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s="17" customFormat="1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s="17" customFormat="1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s="17" customFormat="1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s="17" customFormat="1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s="17" customFormat="1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s="17" customFormat="1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s="17" customFormat="1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s="17" customFormat="1">
      <c r="A51" s="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s="17" customFormat="1">
      <c r="A52" s="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s="17" customFormat="1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s="17" customFormat="1">
      <c r="A54" s="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s="17" customFormat="1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s="17" customFormat="1">
      <c r="A56" s="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s="17" customFormat="1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s="17" customFormat="1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s="17" customFormat="1">
      <c r="A59" s="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s="17" customFormat="1">
      <c r="A60" s="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s="17" customFormat="1">
      <c r="A61" s="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s="17" customFormat="1">
      <c r="A62" s="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s="17" customFormat="1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s="17" customFormat="1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s="17" customFormat="1">
      <c r="A65" s="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s="17" customFormat="1">
      <c r="A66" s="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s="17" customFormat="1">
      <c r="A67" s="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s="17" customFormat="1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s="17" customFormat="1">
      <c r="A69" s="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s="17" customFormat="1">
      <c r="A70" s="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s="17" customFormat="1">
      <c r="A71" s="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s="17" customFormat="1">
      <c r="A72" s="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s="17" customFormat="1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s="17" customFormat="1">
      <c r="A74" s="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s="17" customFormat="1">
      <c r="A75" s="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s="17" customFormat="1">
      <c r="A76" s="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s="17" customFormat="1">
      <c r="A77" s="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s="17" customFormat="1">
      <c r="A78" s="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s="17" customFormat="1">
      <c r="A79" s="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s="17" customFormat="1">
      <c r="A80" s="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s="17" customFormat="1">
      <c r="A81" s="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s="17" customFormat="1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s="17" customFormat="1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s="17" customFormat="1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s="17" customFormat="1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s="17" customFormat="1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s="17" customFormat="1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s="17" customFormat="1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s="17" customFormat="1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s="17" customFormat="1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s="17" customFormat="1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s="17" customFormat="1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s="17" customFormat="1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s="17" customFormat="1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s="17" customFormat="1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s="17" customFormat="1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s="17" customFormat="1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s="17" customFormat="1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s="17" customFormat="1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s="17" customFormat="1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s="17" customFormat="1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s="17" customFormat="1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s="17" customFormat="1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s="17" customFormat="1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s="17" customFormat="1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s="17" customFormat="1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s="17" customFormat="1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s="17" customFormat="1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s="17" customFormat="1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s="17" customFormat="1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s="17" customFormat="1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s="17" customFormat="1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s="17" customFormat="1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s="17" customFormat="1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s="17" customFormat="1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s="17" customFormat="1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s="17" customFormat="1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s="17" customFormat="1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s="17" customFormat="1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s="17" customFormat="1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s="17" customFormat="1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s="17" customFormat="1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s="17" customFormat="1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s="17" customFormat="1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s="17" customFormat="1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s="17" customFormat="1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s="17" customFormat="1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s="17" customFormat="1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s="17" customFormat="1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s="17" customFormat="1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s="17" customFormat="1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s="17" customFormat="1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</sheetData>
  <mergeCells count="1">
    <mergeCell ref="C3:P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851b35d3-0456-4d6a-bc2f-da927e91d158"/>
    <ds:schemaRef ds:uri="http://schemas.microsoft.com/office/2006/documentManagement/types"/>
    <ds:schemaRef ds:uri="http://schemas.microsoft.com/office/infopath/2007/PartnerControls"/>
    <ds:schemaRef ds:uri="19483571-f922-4e8e-9c1c-26f0a225213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A̳ssets</vt:lpstr>
      <vt:lpstr>B̳ases</vt:lpstr>
      <vt:lpstr>C̳álculos</vt:lpstr>
      <vt:lpstr>D̳ashboard</vt:lpstr>
      <vt:lpstr>TBL_Anual_totacalculo</vt:lpstr>
      <vt:lpstr>TBL_EAPlaySeasonPass_total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Eliana</cp:lastModifiedBy>
  <dcterms:created xsi:type="dcterms:W3CDTF">2024-12-19T13:13:10Z</dcterms:created>
  <dcterms:modified xsi:type="dcterms:W3CDTF">2026-09-20T23:47:52Z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